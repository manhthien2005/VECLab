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ướng dẫn" sheetId="1" state="visible" r:id="rId3"/>
    <sheet name="Nguồn" sheetId="2" state="visible" r:id="rId4"/>
    <sheet name="Kiểm tra" sheetId="3" state="visible" r:id="rId5"/>
  </sheets>
  <definedNames>
    <definedName function="false" hidden="true" localSheetId="1" name="_xlnm._FilterDatabase" vbProcedure="false">Nguồn!$A$1:$H$20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<sst xmlns="http://schemas.openxmlformats.org/spreadsheetml/2006/main" count="235" uniqueCount="208">
  <si>
    <t xml:space="preserve">Nguồn và công thức – Xà phòng cold-process (VECLab)</t>
  </si>
  <si>
    <t xml:space="preserve">Ngày lập</t>
  </si>
  <si>
    <t xml:space="preserve">20/10/2026</t>
  </si>
  <si>
    <t xml:space="preserve">Phạm vi</t>
  </si>
  <si>
    <t xml:space="preserve">Bảng nguồn cho các công thức và hằng số trong mô phỏng làm xà phòng. Mỗi mục có trạng thái A/B/C.</t>
  </si>
  <si>
    <t xml:space="preserve">A</t>
  </si>
  <si>
    <t xml:space="preserve">Có nguồn: có URL, tên tài liệu, vị trí trong nguồn và số liệu đã trích.</t>
  </si>
  <si>
    <t xml:space="preserve">B</t>
  </si>
  <si>
    <t xml:space="preserve">Chưa có nguồn đáng tin: đã tìm, nhưng không có số phù hợp. Không được ghi là đã xác nhận.</t>
  </si>
  <si>
    <t xml:space="preserve">C</t>
  </si>
  <si>
    <t xml:space="preserve">Quy ước game: không cần nguồn vật lý (ví dụ η = 0,6, dung tích cốc).</t>
  </si>
  <si>
    <t xml:space="preserve">Lưu ý</t>
  </si>
  <si>
    <t xml:space="preserve">Mình chỉ đọc đoạn trích từ công cụ tìm kiếm, chưa đọc toàn văn phần lớn nguồn. Cần đối chiếu trước khi đưa vào mã nguồn.</t>
  </si>
  <si>
    <t xml:space="preserve">Sheet 'Nguồn'</t>
  </si>
  <si>
    <t xml:space="preserve">Bảng đầy đủ các mục, URL và ghi chú hạn chế.</t>
  </si>
  <si>
    <t xml:space="preserve">Sheet 'Kiểm tra'</t>
  </si>
  <si>
    <t xml:space="preserve">Công thức đối chiếu đơn vị và giá trị (SAP, mật độ, nước bay hơi). Ô màu xanh là số nhập tay, ô đen là công thức.</t>
  </si>
  <si>
    <t xml:space="preserve">ID</t>
  </si>
  <si>
    <t xml:space="preserve">Mục</t>
  </si>
  <si>
    <t xml:space="preserve">Trạng thái</t>
  </si>
  <si>
    <t xml:space="preserve">Giá trị nguồn trích</t>
  </si>
  <si>
    <t xml:space="preserve">URL</t>
  </si>
  <si>
    <t xml:space="preserve">Vị trí trong nguồn</t>
  </si>
  <si>
    <t xml:space="preserve">Khớp / lệch với VECLab</t>
  </si>
  <si>
    <t xml:space="preserve">Ghi chú hạn chế</t>
  </si>
  <si>
    <t xml:space="preserve">1a</t>
  </si>
  <si>
    <t xml:space="preserve">SAP ô liu</t>
  </si>
  <si>
    <t xml:space="preserve">SV 184–196 mg KOH/g</t>
  </si>
  <si>
    <t xml:space="preserve">https://laws.justice.gc.ca/eng/regulations/c.r.c.%2c_c._870/section-B.09.003-20060322.html</t>
  </si>
  <si>
    <t xml:space="preserve">Quy định Canada B.09.003, khoản (iv)</t>
  </si>
  <si>
    <t xml:space="preserve">Khớp (0,131–0,140 g NaOH/g)</t>
  </si>
  <si>
    <t xml:space="preserve">Phiên bản 2006-03-22 đến 2024-12-17; cần kiểm bản hiện hành</t>
  </si>
  <si>
    <t xml:space="preserve">1b</t>
  </si>
  <si>
    <t xml:space="preserve">SAP dừa</t>
  </si>
  <si>
    <t xml:space="preserve">SV 248–265 mg KOH/g</t>
  </si>
  <si>
    <t xml:space="preserve">https://faolex.fao.org/docs/pdf/els27205.pdf</t>
  </si>
  <si>
    <t xml:space="preserve">NSR 67.00.106:99 (chấp nhận Codex STAN 124-1981), mục 3.1.3</t>
  </si>
  <si>
    <t xml:space="preserve">Khớp (0,177–0,189 g NaOH/g)</t>
  </si>
  <si>
    <t xml:space="preserve">Nguồn gián tiếp qua bản quốc gia; nên tải Codex gốc</t>
  </si>
  <si>
    <t xml:space="preserve">1c</t>
  </si>
  <si>
    <t xml:space="preserve">SAP cọ</t>
  </si>
  <si>
    <t xml:space="preserve">A (yếu)</t>
  </si>
  <si>
    <t xml:space="preserve">SV 190–210 (Sigma-Aldrich); 190–209 (Wikipedia)</t>
  </si>
  <si>
    <t xml:space="preserve">https://sigmaaldrich.com/PL/en/product/sial/70905 ; https://en.wikipedia.org/wiki/Saponification_value</t>
  </si>
  <si>
    <t xml:space="preserve">Thông số nhà cung cấp; Wikipedia</t>
  </si>
  <si>
    <t xml:space="preserve">Khớp (mid 199,5 → 0,142)</t>
  </si>
  <si>
    <t xml:space="preserve">Không phải Codex/ISO; cần tiêu chuẩn gốc</t>
  </si>
  <si>
    <t xml:space="preserve">2</t>
  </si>
  <si>
    <t xml:space="preserve">ΔH hòa tan NaOH</t>
  </si>
  <si>
    <t xml:space="preserve">−44,5 kJ/mol ở 25 °C, ngoại suy vô hạn loãng</t>
  </si>
  <si>
    <t xml:space="preserve">https://chem.libretexts.org/Courses/Howard_University/General_Chemistry%3A_An_Atoms_First_Approach/Unit_4%3A__Thermochemistry/09%3A_Thermochemistry/Chapter_9.05%3A_Enthalpies_of_Solution</t>
  </si>
  <si>
    <t xml:space="preserve">Chương 9.5, Bảng 9.5.1</t>
  </si>
  <si>
    <t xml:space="preserve">Khớp (44 500 J/mol)</t>
  </si>
  <si>
    <t xml:space="preserve">Giáo trình; Riggs ghi 42,7 kJ/mol ở 10 000 H₂O; cần CRC</t>
  </si>
  <si>
    <t xml:space="preserve">3</t>
  </si>
  <si>
    <t xml:space="preserve">Nhiệt dung dung dịch NaOH 25–33%</t>
  </si>
  <si>
    <t xml:space="preserve">Chưa có số ở 25–33%</t>
  </si>
  <si>
    <t xml:space="preserve">https://www.cia.gov/readingroom/print/558271 ; https://hero.epa.gov/hero/index.cfm/reference/details/reference_id/1773503</t>
  </si>
  <si>
    <t xml:space="preserve">Bài 1959 (NaOH–H₂O, 50–350 °C); EPA (50–300 °C, 0,5–8 mol/kg)</t>
  </si>
  <si>
    <t xml:space="preserve">Chưa khớp</t>
  </si>
  <si>
    <t xml:space="preserve">Dung dịch 27% ≈ 9 mol/kg, ngoài phạm vi EPA</t>
  </si>
  <si>
    <t xml:space="preserve">4</t>
  </si>
  <si>
    <t xml:space="preserve">Mật độ dung dịch NaOH</t>
  </si>
  <si>
    <t xml:space="preserve">20 °C: 24%→1,263; 26%→1,285; 28%→1,306; 30%→1,322; 32%→1,343</t>
  </si>
  <si>
    <t xml:space="preserve">https://www.westlakevinnolit.com/wp-content/uploads/2022/05/New_Product-data-sheet-NaOH50-en_05.05.2022.pdf</t>
  </si>
  <si>
    <t xml:space="preserve">Bảng 'Density of various Caustic Soda Solutions'</t>
  </si>
  <si>
    <t xml:space="preserve">Code dùng ρ = 2,13 là LỆCH (đó là mật độ rắn)</t>
  </si>
  <si>
    <t xml:space="preserve">Dưới 50% lấy từ International Critical Tables 3rd ed. p.79</t>
  </si>
  <si>
    <t xml:space="preserve">5a</t>
  </si>
  <si>
    <t xml:space="preserve">Mật độ dầu ô liu</t>
  </si>
  <si>
    <t xml:space="preserve">Tỉ trọng 20/20 °C: 0,910–0,916</t>
  </si>
  <si>
    <t xml:space="preserve">B.09.003, khoản (i)</t>
  </si>
  <si>
    <t xml:space="preserve">Khớp (sát biên dưới); nên dùng 0,913</t>
  </si>
  <si>
    <t xml:space="preserve">Bản quy định đã hết hiệu lực</t>
  </si>
  <si>
    <t xml:space="preserve">5b</t>
  </si>
  <si>
    <t xml:space="preserve">Mật độ dầu dừa</t>
  </si>
  <si>
    <t xml:space="preserve">Tỉ trọng 40 °C/nước 20 °C: 0,908–0,921</t>
  </si>
  <si>
    <t xml:space="preserve">Mục 3.1.1</t>
  </si>
  <si>
    <t xml:space="preserve">Khớp nhưng khác điều kiện đo</t>
  </si>
  <si>
    <t xml:space="preserve">Cần quy đổi nếu code dùng 20 °C</t>
  </si>
  <si>
    <t xml:space="preserve">5c</t>
  </si>
  <si>
    <t xml:space="preserve">Mật độ dầu cọ</t>
  </si>
  <si>
    <t xml:space="preserve">A (một phần)</t>
  </si>
  <si>
    <t xml:space="preserve">Palm yağı: 0,891–0,899</t>
  </si>
  <si>
    <t xml:space="preserve">https://akbis.gaziantep.edu.tr/yonetim/upload/files/331366-5810.pdf</t>
  </si>
  <si>
    <t xml:space="preserve">Bảng TSE/Turkish Food Codex</t>
  </si>
  <si>
    <t xml:space="preserve">LỆCH (code 0,92)</t>
  </si>
  <si>
    <t xml:space="preserve">Điều kiện nhiệt không rõ; Parchem ghi 0,952 — mâu thuẫn</t>
  </si>
  <si>
    <t xml:space="preserve">6</t>
  </si>
  <si>
    <t xml:space="preserve">Nhiệt dung riêng dầu</t>
  </si>
  <si>
    <t xml:space="preserve">Chưa trích số. Ô liu + 4 dầu, 25–90 °C</t>
  </si>
  <si>
    <t xml:space="preserve">DOI 10.1007/s10973-016-5864-1 ; https://ipn.elsevierpure.com/es/publications/specific-heat-of-vegetable-oils-as-a-function-of-temperature-obta</t>
  </si>
  <si>
    <t xml:space="preserve">J. Therm. Anal. Calorim. 128(1), 523–531 (2017)</t>
  </si>
  <si>
    <t xml:space="preserve">Chưa đánh giá</t>
  </si>
  <si>
    <t xml:space="preserve">Code chưa dùng Cp dầu; dầu cọ: DOI 10.1007/BF02547438</t>
  </si>
  <si>
    <t xml:space="preserve">7</t>
  </si>
  <si>
    <t xml:space="preserve">Nồng độ NaOH 24–33%</t>
  </si>
  <si>
    <t xml:space="preserve">Diễn đàn: đa số 25–33%</t>
  </si>
  <si>
    <t xml:space="preserve">https://www.soapmakingforum.com/threads/lye-solution-strength.48318</t>
  </si>
  <si>
    <t xml:space="preserve">Bài thảo luận</t>
  </si>
  <si>
    <t xml:space="preserve">Khớp thực hành</t>
  </si>
  <si>
    <t xml:space="preserve">Không có nguồn học thuật</t>
  </si>
  <si>
    <t xml:space="preserve">8</t>
  </si>
  <si>
    <t xml:space="preserve">Superfat 1–10%</t>
  </si>
  <si>
    <t xml:space="preserve">Blog: 5% phổ biến; 3–8% trong tutorial</t>
  </si>
  <si>
    <t xml:space="preserve">https://www.soapqueen.com/2018/05/ ; https://lovinsoap.com/2010/07/superfatting-and-lye-discounting-a-cold-process-soapmaking-tutorial/</t>
  </si>
  <si>
    <t xml:space="preserve">Bài hướng dẫn</t>
  </si>
  <si>
    <t xml:space="preserve">Khớp</t>
  </si>
  <si>
    <t xml:space="preserve">Blog thương mại</t>
  </si>
  <si>
    <t xml:space="preserve">9</t>
  </si>
  <si>
    <t xml:space="preserve">Nhiệt đổ trộn 40–50 °C; ΔT ≤ 15 °C</t>
  </si>
  <si>
    <t xml:space="preserve">105–120 °F (≈41–49 °C)</t>
  </si>
  <si>
    <t xml:space="preserve">https://www.soapmakingforum.com/threads/avoiding-seize-ure-process-and-or-temperature.40369/ ; https://www.voyageursoapandcandle.com/Basic_Cold_Process_Soap_Making_s/259.htm</t>
  </si>
  <si>
    <t xml:space="preserve">Thảo luận; hướng dẫn nhà bán</t>
  </si>
  <si>
    <t xml:space="preserve">40–50 khớp định tính; ΔT không có số</t>
  </si>
  <si>
    <t xml:space="preserve">Ngưỡng ΔT là quy ước game</t>
  </si>
  <si>
    <t xml:space="preserve">10</t>
  </si>
  <si>
    <t xml:space="preserve">Seizing: ≥ 55 °C và &gt; 10 phút</t>
  </si>
  <si>
    <t xml:space="preserve">Báo cáo seizing ở khoảng 120 °F (≈49 °C), chủ yếu do hương liệu</t>
  </si>
  <si>
    <t xml:space="preserve">https://lovinsoap.com/2015/08/my-soap-seized-what-can-i-do-hot-process-it-rebatch-it-or-chunk-it/</t>
  </si>
  <si>
    <t xml:space="preserve">Báo cáo cá nhân</t>
  </si>
  <si>
    <t xml:space="preserve">KHÔNG KHỚP</t>
  </si>
  <si>
    <t xml:space="preserve">Không có ngưỡng số; cần ghi là quy ước game</t>
  </si>
  <si>
    <t xml:space="preserve">11</t>
  </si>
  <si>
    <t xml:space="preserve">Thời gian đến trace (máy 12 phút, tay 30 phút)</t>
  </si>
  <si>
    <t xml:space="preserve">Máy 5–10 phút; tay 40–60 phút</t>
  </si>
  <si>
    <t xml:space="preserve">https://soapmakingforum.com/threads/variables-that-affect-tracing-time.3809</t>
  </si>
  <si>
    <t xml:space="preserve">Thảo luận</t>
  </si>
  <si>
    <t xml:space="preserve">Khớp định tính</t>
  </si>
  <si>
    <t xml:space="preserve">Phụ thuộc dầu và hương liệu</t>
  </si>
  <si>
    <t xml:space="preserve">12</t>
  </si>
  <si>
    <t xml:space="preserve">Nước còn sau ủ (f = 0,20, τ = 13 460 phút)</t>
  </si>
  <si>
    <t xml:space="preserve">B (lệch)</t>
  </si>
  <si>
    <t xml:space="preserve">Mất 5–15% khối lượng sau vài tuần (ước lượng cá nhân)</t>
  </si>
  <si>
    <t xml:space="preserve">https://www.soapmakingforum.com/showthread.php?p=548993 ; https://www.soapmakingforum.com/threads/weight-loss-method-for-testing-cure.84971/post-906551</t>
  </si>
  <si>
    <t xml:space="preserve">Thí nghiệm cá nhân</t>
  </si>
  <si>
    <t xml:space="preserve">LỆCH: f = 0,20 giả định mất ~80% nước</t>
  </si>
  <si>
    <t xml:space="preserve">τ không có nguồn; xem sheet 'Kiểm tra'</t>
  </si>
  <si>
    <t xml:space="preserve">13</t>
  </si>
  <si>
    <t xml:space="preserve">pH bánh sau ủ, mục tiêu 9–10</t>
  </si>
  <si>
    <t xml:space="preserve">A (một nghiên cứu)</t>
  </si>
  <si>
    <t xml:space="preserve">pH 10,2 (không citric), 9,8 (có 2% citric)</t>
  </si>
  <si>
    <t xml:space="preserve">https://jurnal.ugm.ac.id/v3/jrekpros/article/view/10656</t>
  </si>
  <si>
    <t xml:space="preserve">Jurnal Rekayasa Proses, UGM, 2013</t>
  </si>
  <si>
    <t xml:space="preserve">Xà phòng sữa; chỉ một nghiên cứu</t>
  </si>
  <si>
    <t xml:space="preserve">14</t>
  </si>
  <si>
    <t xml:space="preserve">Experiment 718 (LibreTexts)</t>
  </si>
  <si>
    <t xml:space="preserve">URL có; đoạn NaOH vào nước chưa xác nhận</t>
  </si>
  <si>
    <t xml:space="preserve">https://chem.libretexts.org/Courses/Los_Medanos_College/Chemistry_6_and_Chemistry_7_Combined_Laboratory_Manual_(Los_Medanos_College)/01%3A_Experiments/1.25%3A_Experiment_718_Making_Soap_-_Saponification_1_1_1</t>
  </si>
  <si>
    <t xml:space="preserve">Experiment 718</t>
  </si>
  <si>
    <t xml:space="preserve">Chưa xác nhận</t>
  </si>
  <si>
    <t xml:space="preserve">Cần mở trang để kiểm tra đoạn</t>
  </si>
  <si>
    <t xml:space="preserve">15</t>
  </si>
  <si>
    <t xml:space="preserve">Nhiệt phản ứng xà phòng hóa</t>
  </si>
  <si>
    <t xml:space="preserve">Không có số</t>
  </si>
  <si>
    <t xml:space="preserve">https://www.eng.uc.edu/%7Ebeaucag/Classes/ChEThermoBeaucage/Quizzes2019/Quiz%204%20ChE%20Thermo%202019.pdf</t>
  </si>
  <si>
    <t xml:space="preserve">Bài tập phương pháp</t>
  </si>
  <si>
    <t xml:space="preserve">Thiếu</t>
  </si>
  <si>
    <t xml:space="preserve">Mô hình hiện chưa tính phần này</t>
  </si>
  <si>
    <t xml:space="preserve">Kiểm tra đơn vị và giá trị (công thức)</t>
  </si>
  <si>
    <t xml:space="preserve">A. SAP (mg KOH/g) → hệ số NaOH (g/g dầu)</t>
  </si>
  <si>
    <t xml:space="preserve">Dầu</t>
  </si>
  <si>
    <t xml:space="preserve">SAP min</t>
  </si>
  <si>
    <t xml:space="preserve">SAP max</t>
  </si>
  <si>
    <t xml:space="preserve">SAP mid</t>
  </si>
  <si>
    <t xml:space="preserve">Hệ số NaOH mid</t>
  </si>
  <si>
    <t xml:space="preserve">Code (VECLab)</t>
  </si>
  <si>
    <t xml:space="preserve">Chênh</t>
  </si>
  <si>
    <t xml:space="preserve">Kết luận</t>
  </si>
  <si>
    <t xml:space="preserve">Ô liu</t>
  </si>
  <si>
    <t xml:space="preserve">Dừa</t>
  </si>
  <si>
    <t xml:space="preserve">Cọ</t>
  </si>
  <si>
    <t xml:space="preserve">Ghi chú: hệ số NaOH = SAP × 40/56 / 1000 (đổi KOH sang NaOH). Ô xanh là số nhập tay từ nguồn. Cọ dùng khoảng 190–210 (Sigma-Aldrich).</t>
  </si>
  <si>
    <t xml:space="preserve">B. Mật độ dung dịch NaOH ở 20 °C (Vinnolit)</t>
  </si>
  <si>
    <t xml:space="preserve">% NaOH (m/m)</t>
  </si>
  <si>
    <t xml:space="preserve">Mật độ (g/mL)</t>
  </si>
  <si>
    <t xml:space="preserve">Ghi chú</t>
  </si>
  <si>
    <t xml:space="preserve">Vinnolit datasheet</t>
  </si>
  <si>
    <t xml:space="preserve">Nội suy từ 26 và 28%</t>
  </si>
  <si>
    <t xml:space="preserve">Bảng ikhebeenvraag.be (tham chiếu chéo)</t>
  </si>
  <si>
    <t xml:space="preserve">Chênh (nội suy − ikhebeenvraag)</t>
  </si>
  <si>
    <t xml:space="preserve">Code ρ_NaOH (VECLab)</t>
  </si>
  <si>
    <t xml:space="preserve">C. Mật độ dầu (code vs. nguồn)</t>
  </si>
  <si>
    <t xml:space="preserve">Code ρ</t>
  </si>
  <si>
    <t xml:space="preserve">Nguồn min</t>
  </si>
  <si>
    <t xml:space="preserve">Nguồn max</t>
  </si>
  <si>
    <t xml:space="preserve">Nguồn / điều kiện</t>
  </si>
  <si>
    <t xml:space="preserve">Canada B.09.003 (20/20 °C)</t>
  </si>
  <si>
    <t xml:space="preserve">Codex via NSR (40 °C/nước 20 °C)</t>
  </si>
  <si>
    <t xml:space="preserve">TSE/Turkish Food Codex (nhiệt không rõ)</t>
  </si>
  <si>
    <t xml:space="preserve">Palm: Parchem ghi 0,952 — mâu thuẫn với 0,891–0,899; cần đối chiếu điều kiện đo.</t>
  </si>
  <si>
    <t xml:space="preserve">D. Nước bay hơi khi ủ: giả định f = 0,20 so với số đo cộng đồng</t>
  </si>
  <si>
    <t xml:space="preserve">Khối lượng batch (g)</t>
  </si>
  <si>
    <t xml:space="preserve">Khối lượng nước ban đầu (g)</t>
  </si>
  <si>
    <t xml:space="preserve">f trong code (nước còn lại)</t>
  </si>
  <si>
    <t xml:space="preserve">Mất khối lượng theo code (g)</t>
  </si>
  <si>
    <t xml:space="preserve">Mất khối lượng theo code (% batch)</t>
  </si>
  <si>
    <t xml:space="preserve">Tỉ lệ nước bay theo code</t>
  </si>
  <si>
    <t xml:space="preserve">Kịch bản cộng đồng</t>
  </si>
  <si>
    <t xml:space="preserve">% khối lượng mất</t>
  </si>
  <si>
    <t xml:space="preserve">Khối lượng mất (g)</t>
  </si>
  <si>
    <t xml:space="preserve">% nước bay</t>
  </si>
  <si>
    <t xml:space="preserve">Nước còn lại (f ước lượng)</t>
  </si>
  <si>
    <t xml:space="preserve">Thấp</t>
  </si>
  <si>
    <t xml:space="preserve">Trung bình</t>
  </si>
  <si>
    <t xml:space="preserve">Cao</t>
  </si>
  <si>
    <t xml:space="preserve">Nguồn số liệu: ước lượng cá nhân trên diễn đàn (5–15% khối lượng). Không phải đo trong phòng thí nghiệm. Kết quả này là phép tính của mình, không phải dữ liệu đã công bố.</t>
  </si>
  <si>
    <t xml:space="preserve">Nhận xét: f = 0,20 giả định mất ~80% nước, lớn hơn đáng kể so với 5–15% khối lượng.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</si>
</sst>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23.8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60"/>
    <col collapsed="false" customWidth="true" hidden="false" outlineLevel="0" max="6" min="6" style="0" width="40"/>
    <col collapsed="false" customWidth="true" hidden="false" outlineLevel="0" max="7" min="7" style="0" width="32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customFormat="false" ht="23.85" hidden="false" customHeight="false" outlineLevel="0" collapsed="false">
      <c r="A2" s="5" t="s">
        <v>25</v>
      </c>
      <c r="B2" s="5" t="s">
        <v>26</v>
      </c>
      <c r="C2" s="5" t="s">
        <v>5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</row>
    <row r="3" customFormat="false" ht="23.85" hidden="false" customHeight="false" outlineLevel="0" collapsed="false">
      <c r="A3" s="5" t="s">
        <v>32</v>
      </c>
      <c r="B3" s="5" t="s">
        <v>33</v>
      </c>
      <c r="C3" s="5" t="s">
        <v>5</v>
      </c>
      <c r="D3" s="5" t="s">
        <v>34</v>
      </c>
      <c r="E3" s="5" t="s">
        <v>35</v>
      </c>
      <c r="F3" s="5" t="s">
        <v>36</v>
      </c>
      <c r="G3" s="5" t="s">
        <v>37</v>
      </c>
      <c r="H3" s="5" t="s">
        <v>38</v>
      </c>
    </row>
    <row r="4" customFormat="false" ht="23.85" hidden="false" customHeight="false" outlineLevel="0" collapsed="false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</row>
    <row r="5" customFormat="false" ht="46.25" hidden="false" customHeight="false" outlineLevel="0" collapsed="false">
      <c r="A5" s="5" t="s">
        <v>47</v>
      </c>
      <c r="B5" s="5" t="s">
        <v>48</v>
      </c>
      <c r="C5" s="5" t="s">
        <v>5</v>
      </c>
      <c r="D5" s="5" t="s">
        <v>49</v>
      </c>
      <c r="E5" s="5" t="s">
        <v>50</v>
      </c>
      <c r="F5" s="5" t="s">
        <v>51</v>
      </c>
      <c r="G5" s="5" t="s">
        <v>52</v>
      </c>
      <c r="H5" s="5" t="s">
        <v>53</v>
      </c>
    </row>
    <row r="6" customFormat="false" ht="35.05" hidden="false" customHeight="false" outlineLevel="0" collapsed="false">
      <c r="A6" s="5" t="s">
        <v>54</v>
      </c>
      <c r="B6" s="5" t="s">
        <v>55</v>
      </c>
      <c r="C6" s="5" t="s">
        <v>7</v>
      </c>
      <c r="D6" s="5" t="s">
        <v>56</v>
      </c>
      <c r="E6" s="5" t="s">
        <v>57</v>
      </c>
      <c r="F6" s="5" t="s">
        <v>58</v>
      </c>
      <c r="G6" s="5" t="s">
        <v>59</v>
      </c>
      <c r="H6" s="5" t="s">
        <v>60</v>
      </c>
    </row>
    <row r="7" customFormat="false" ht="23.85" hidden="false" customHeight="false" outlineLevel="0" collapsed="false">
      <c r="A7" s="5" t="s">
        <v>61</v>
      </c>
      <c r="B7" s="5" t="s">
        <v>62</v>
      </c>
      <c r="C7" s="5" t="s">
        <v>5</v>
      </c>
      <c r="D7" s="5" t="s">
        <v>63</v>
      </c>
      <c r="E7" s="5" t="s">
        <v>64</v>
      </c>
      <c r="F7" s="5" t="s">
        <v>65</v>
      </c>
      <c r="G7" s="5" t="s">
        <v>66</v>
      </c>
      <c r="H7" s="5" t="s">
        <v>67</v>
      </c>
    </row>
    <row r="8" customFormat="false" ht="23.85" hidden="false" customHeight="false" outlineLevel="0" collapsed="false">
      <c r="A8" s="5" t="s">
        <v>68</v>
      </c>
      <c r="B8" s="5" t="s">
        <v>69</v>
      </c>
      <c r="C8" s="5" t="s">
        <v>5</v>
      </c>
      <c r="D8" s="5" t="s">
        <v>70</v>
      </c>
      <c r="E8" s="5" t="s">
        <v>28</v>
      </c>
      <c r="F8" s="5" t="s">
        <v>71</v>
      </c>
      <c r="G8" s="5" t="s">
        <v>72</v>
      </c>
      <c r="H8" s="5" t="s">
        <v>73</v>
      </c>
    </row>
    <row r="9" customFormat="false" ht="15" hidden="false" customHeight="false" outlineLevel="0" collapsed="false">
      <c r="A9" s="5" t="s">
        <v>74</v>
      </c>
      <c r="B9" s="5" t="s">
        <v>75</v>
      </c>
      <c r="C9" s="5" t="s">
        <v>5</v>
      </c>
      <c r="D9" s="5" t="s">
        <v>76</v>
      </c>
      <c r="E9" s="5" t="s">
        <v>35</v>
      </c>
      <c r="F9" s="5" t="s">
        <v>77</v>
      </c>
      <c r="G9" s="5" t="s">
        <v>78</v>
      </c>
      <c r="H9" s="5" t="s">
        <v>79</v>
      </c>
    </row>
    <row r="10" customFormat="false" ht="23.85" hidden="false" customHeight="false" outlineLevel="0" collapsed="false">
      <c r="A10" s="5" t="s">
        <v>80</v>
      </c>
      <c r="B10" s="5" t="s">
        <v>81</v>
      </c>
      <c r="C10" s="5" t="s">
        <v>82</v>
      </c>
      <c r="D10" s="5" t="s">
        <v>83</v>
      </c>
      <c r="E10" s="5" t="s">
        <v>84</v>
      </c>
      <c r="F10" s="5" t="s">
        <v>85</v>
      </c>
      <c r="G10" s="5" t="s">
        <v>86</v>
      </c>
      <c r="H10" s="5" t="s">
        <v>87</v>
      </c>
    </row>
    <row r="11" customFormat="false" ht="35.05" hidden="false" customHeight="false" outlineLevel="0" collapsed="false">
      <c r="A11" s="5" t="s">
        <v>88</v>
      </c>
      <c r="B11" s="5" t="s">
        <v>89</v>
      </c>
      <c r="C11" s="5" t="s">
        <v>7</v>
      </c>
      <c r="D11" s="5" t="s">
        <v>90</v>
      </c>
      <c r="E11" s="5" t="s">
        <v>91</v>
      </c>
      <c r="F11" s="5" t="s">
        <v>92</v>
      </c>
      <c r="G11" s="5" t="s">
        <v>93</v>
      </c>
      <c r="H11" s="5" t="s">
        <v>94</v>
      </c>
    </row>
    <row r="12" customFormat="false" ht="15" hidden="false" customHeight="false" outlineLevel="0" collapsed="false">
      <c r="A12" s="5" t="s">
        <v>95</v>
      </c>
      <c r="B12" s="5" t="s">
        <v>96</v>
      </c>
      <c r="C12" s="5" t="s">
        <v>7</v>
      </c>
      <c r="D12" s="5" t="s">
        <v>97</v>
      </c>
      <c r="E12" s="5" t="s">
        <v>98</v>
      </c>
      <c r="F12" s="5" t="s">
        <v>99</v>
      </c>
      <c r="G12" s="5" t="s">
        <v>100</v>
      </c>
      <c r="H12" s="5" t="s">
        <v>101</v>
      </c>
    </row>
    <row r="13" customFormat="false" ht="35.05" hidden="false" customHeight="false" outlineLevel="0" collapsed="false">
      <c r="A13" s="5" t="s">
        <v>102</v>
      </c>
      <c r="B13" s="5" t="s">
        <v>103</v>
      </c>
      <c r="C13" s="5" t="s">
        <v>7</v>
      </c>
      <c r="D13" s="5" t="s">
        <v>104</v>
      </c>
      <c r="E13" s="5" t="s">
        <v>105</v>
      </c>
      <c r="F13" s="5" t="s">
        <v>106</v>
      </c>
      <c r="G13" s="5" t="s">
        <v>107</v>
      </c>
      <c r="H13" s="5" t="s">
        <v>108</v>
      </c>
    </row>
    <row r="14" customFormat="false" ht="46.25" hidden="false" customHeight="false" outlineLevel="0" collapsed="false">
      <c r="A14" s="5" t="s">
        <v>109</v>
      </c>
      <c r="B14" s="5" t="s">
        <v>110</v>
      </c>
      <c r="C14" s="5" t="s">
        <v>7</v>
      </c>
      <c r="D14" s="5" t="s">
        <v>111</v>
      </c>
      <c r="E14" s="5" t="s">
        <v>112</v>
      </c>
      <c r="F14" s="5" t="s">
        <v>113</v>
      </c>
      <c r="G14" s="5" t="s">
        <v>114</v>
      </c>
      <c r="H14" s="5" t="s">
        <v>115</v>
      </c>
    </row>
    <row r="15" customFormat="false" ht="23.85" hidden="false" customHeight="false" outlineLevel="0" collapsed="false">
      <c r="A15" s="5" t="s">
        <v>116</v>
      </c>
      <c r="B15" s="5" t="s">
        <v>117</v>
      </c>
      <c r="C15" s="5" t="s">
        <v>7</v>
      </c>
      <c r="D15" s="5" t="s">
        <v>118</v>
      </c>
      <c r="E15" s="5" t="s">
        <v>119</v>
      </c>
      <c r="F15" s="5" t="s">
        <v>120</v>
      </c>
      <c r="G15" s="5" t="s">
        <v>121</v>
      </c>
      <c r="H15" s="5" t="s">
        <v>122</v>
      </c>
    </row>
    <row r="16" customFormat="false" ht="23.85" hidden="false" customHeight="false" outlineLevel="0" collapsed="false">
      <c r="A16" s="5" t="s">
        <v>123</v>
      </c>
      <c r="B16" s="5" t="s">
        <v>124</v>
      </c>
      <c r="C16" s="5" t="s">
        <v>7</v>
      </c>
      <c r="D16" s="5" t="s">
        <v>125</v>
      </c>
      <c r="E16" s="5" t="s">
        <v>126</v>
      </c>
      <c r="F16" s="5" t="s">
        <v>127</v>
      </c>
      <c r="G16" s="5" t="s">
        <v>128</v>
      </c>
      <c r="H16" s="5" t="s">
        <v>129</v>
      </c>
    </row>
    <row r="17" customFormat="false" ht="35.05" hidden="false" customHeight="false" outlineLevel="0" collapsed="false">
      <c r="A17" s="5" t="s">
        <v>130</v>
      </c>
      <c r="B17" s="5" t="s">
        <v>131</v>
      </c>
      <c r="C17" s="5" t="s">
        <v>132</v>
      </c>
      <c r="D17" s="5" t="s">
        <v>133</v>
      </c>
      <c r="E17" s="5" t="s">
        <v>134</v>
      </c>
      <c r="F17" s="5" t="s">
        <v>135</v>
      </c>
      <c r="G17" s="5" t="s">
        <v>136</v>
      </c>
      <c r="H17" s="5" t="s">
        <v>137</v>
      </c>
    </row>
    <row r="18" customFormat="false" ht="23.85" hidden="false" customHeight="false" outlineLevel="0" collapsed="false">
      <c r="A18" s="5" t="s">
        <v>138</v>
      </c>
      <c r="B18" s="5" t="s">
        <v>139</v>
      </c>
      <c r="C18" s="5" t="s">
        <v>140</v>
      </c>
      <c r="D18" s="5" t="s">
        <v>141</v>
      </c>
      <c r="E18" s="5" t="s">
        <v>142</v>
      </c>
      <c r="F18" s="5" t="s">
        <v>143</v>
      </c>
      <c r="G18" s="5" t="s">
        <v>107</v>
      </c>
      <c r="H18" s="5" t="s">
        <v>144</v>
      </c>
    </row>
    <row r="19" customFormat="false" ht="46.25" hidden="false" customHeight="false" outlineLevel="0" collapsed="false">
      <c r="A19" s="5" t="s">
        <v>145</v>
      </c>
      <c r="B19" s="5" t="s">
        <v>146</v>
      </c>
      <c r="C19" s="5" t="s">
        <v>7</v>
      </c>
      <c r="D19" s="5" t="s">
        <v>147</v>
      </c>
      <c r="E19" s="5" t="s">
        <v>148</v>
      </c>
      <c r="F19" s="5" t="s">
        <v>149</v>
      </c>
      <c r="G19" s="5" t="s">
        <v>150</v>
      </c>
      <c r="H19" s="5" t="s">
        <v>151</v>
      </c>
    </row>
    <row r="20" customFormat="false" ht="23.85" hidden="false" customHeight="false" outlineLevel="0" collapsed="false">
      <c r="A20" s="5" t="s">
        <v>152</v>
      </c>
      <c r="B20" s="5" t="s">
        <v>153</v>
      </c>
      <c r="C20" s="5" t="s">
        <v>7</v>
      </c>
      <c r="D20" s="5" t="s">
        <v>154</v>
      </c>
      <c r="E20" s="5" t="s">
        <v>155</v>
      </c>
      <c r="F20" s="5" t="s">
        <v>156</v>
      </c>
      <c r="G20" s="5" t="s">
        <v>157</v>
      </c>
      <c r="H20" s="5" t="s">
        <v>158</v>
      </c>
    </row>
  </sheetData>
  <autoFilter ref="A1:H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159</v>
      </c>
      <c r="B1" s="6"/>
      <c r="C1" s="6"/>
      <c r="D1" s="6"/>
      <c r="E1" s="6"/>
      <c r="F1" s="6"/>
      <c r="G1" s="6"/>
      <c r="H1" s="6"/>
    </row>
    <row r="2" customFormat="false" ht="15" hidden="false" customHeight="false" outlineLevel="0" collapsed="false">
      <c r="A2" s="6"/>
      <c r="B2" s="6"/>
      <c r="C2" s="6"/>
      <c r="D2" s="6"/>
      <c r="E2" s="6"/>
      <c r="F2" s="6"/>
      <c r="G2" s="6"/>
      <c r="H2" s="6"/>
    </row>
    <row r="3" customFormat="false" ht="15" hidden="false" customHeight="false" outlineLevel="0" collapsed="false">
      <c r="A3" s="2" t="s">
        <v>160</v>
      </c>
      <c r="B3" s="6"/>
      <c r="C3" s="6"/>
      <c r="D3" s="6"/>
      <c r="E3" s="6"/>
      <c r="F3" s="6"/>
      <c r="G3" s="6"/>
      <c r="H3" s="6"/>
    </row>
    <row r="4" customFormat="false" ht="15" hidden="false" customHeight="false" outlineLevel="0" collapsed="false">
      <c r="A4" s="4" t="s">
        <v>161</v>
      </c>
      <c r="B4" s="4" t="s">
        <v>162</v>
      </c>
      <c r="C4" s="4" t="s">
        <v>163</v>
      </c>
      <c r="D4" s="4" t="s">
        <v>164</v>
      </c>
      <c r="E4" s="4" t="s">
        <v>165</v>
      </c>
      <c r="F4" s="4" t="s">
        <v>166</v>
      </c>
      <c r="G4" s="4" t="s">
        <v>167</v>
      </c>
      <c r="H4" s="4" t="s">
        <v>168</v>
      </c>
    </row>
    <row r="5" customFormat="false" ht="15" hidden="false" customHeight="false" outlineLevel="0" collapsed="false">
      <c r="A5" s="5" t="s">
        <v>169</v>
      </c>
      <c r="B5" s="7" t="n">
        <v>184</v>
      </c>
      <c r="C5" s="7" t="n">
        <v>196</v>
      </c>
      <c r="D5" s="5" t="n">
        <f aca="false">AVERAGE(B5:C5)</f>
        <v>190</v>
      </c>
      <c r="E5" s="5" t="n">
        <f aca="false">D5*40/56/1000</f>
        <v>0.135714285714286</v>
      </c>
      <c r="F5" s="7" t="n">
        <v>0.136</v>
      </c>
      <c r="G5" s="5" t="n">
        <f aca="false">F5-E5</f>
        <v>0.000285714285714278</v>
      </c>
      <c r="H5" s="5" t="str">
        <f aca="false">IF(ABS(G5)&lt;0.001,"Khớp","Lệch")</f>
        <v>Khớp</v>
      </c>
    </row>
    <row r="6" customFormat="false" ht="15" hidden="false" customHeight="false" outlineLevel="0" collapsed="false">
      <c r="A6" s="5" t="s">
        <v>170</v>
      </c>
      <c r="B6" s="7" t="n">
        <v>248</v>
      </c>
      <c r="C6" s="7" t="n">
        <v>265</v>
      </c>
      <c r="D6" s="5" t="n">
        <f aca="false">AVERAGE(B6:C6)</f>
        <v>256.5</v>
      </c>
      <c r="E6" s="5" t="n">
        <f aca="false">D6*40/56/1000</f>
        <v>0.183214285714286</v>
      </c>
      <c r="F6" s="7" t="n">
        <v>0.183</v>
      </c>
      <c r="G6" s="5" t="n">
        <f aca="false">F6-E6</f>
        <v>-0.000214285714285722</v>
      </c>
      <c r="H6" s="5" t="str">
        <f aca="false">IF(ABS(G6)&lt;0.001,"Khớp","Lệch")</f>
        <v>Khớp</v>
      </c>
    </row>
    <row r="7" customFormat="false" ht="15" hidden="false" customHeight="false" outlineLevel="0" collapsed="false">
      <c r="A7" s="5" t="s">
        <v>171</v>
      </c>
      <c r="B7" s="7" t="n">
        <v>190</v>
      </c>
      <c r="C7" s="7" t="n">
        <v>210</v>
      </c>
      <c r="D7" s="5" t="n">
        <f aca="false">AVERAGE(B7:C7)</f>
        <v>200</v>
      </c>
      <c r="E7" s="5" t="n">
        <f aca="false">D7*40/56/1000</f>
        <v>0.142857142857143</v>
      </c>
      <c r="F7" s="7" t="n">
        <v>0.142</v>
      </c>
      <c r="G7" s="5" t="n">
        <f aca="false">F7-E7</f>
        <v>-0.000857142857142862</v>
      </c>
      <c r="H7" s="5" t="str">
        <f aca="false">IF(ABS(G7)&lt;0.001,"Khớp","Lệch")</f>
        <v>Khớp</v>
      </c>
    </row>
    <row r="8" customFormat="false" ht="15" hidden="false" customHeight="false" outlineLevel="0" collapsed="false">
      <c r="A8" s="8" t="s">
        <v>172</v>
      </c>
      <c r="B8" s="6"/>
      <c r="C8" s="6"/>
      <c r="D8" s="6"/>
      <c r="E8" s="6"/>
      <c r="F8" s="6"/>
      <c r="G8" s="6"/>
      <c r="H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</row>
    <row r="10" customFormat="false" ht="15" hidden="false" customHeight="false" outlineLevel="0" collapsed="false">
      <c r="A10" s="2" t="s">
        <v>173</v>
      </c>
      <c r="B10" s="6"/>
      <c r="C10" s="6"/>
      <c r="D10" s="6"/>
      <c r="E10" s="6"/>
      <c r="F10" s="6"/>
      <c r="G10" s="6"/>
      <c r="H10" s="6"/>
    </row>
    <row r="11" customFormat="false" ht="15" hidden="false" customHeight="false" outlineLevel="0" collapsed="false">
      <c r="A11" s="4" t="s">
        <v>174</v>
      </c>
      <c r="B11" s="4" t="s">
        <v>175</v>
      </c>
      <c r="C11" s="4" t="s">
        <v>176</v>
      </c>
      <c r="D11" s="6"/>
      <c r="E11" s="6"/>
      <c r="F11" s="6"/>
      <c r="G11" s="6"/>
      <c r="H11" s="6"/>
    </row>
    <row r="12" customFormat="false" ht="15" hidden="false" customHeight="false" outlineLevel="0" collapsed="false">
      <c r="A12" s="7" t="n">
        <v>24</v>
      </c>
      <c r="B12" s="7" t="n">
        <v>1.263</v>
      </c>
      <c r="C12" s="5" t="s">
        <v>177</v>
      </c>
      <c r="D12" s="6"/>
      <c r="E12" s="6"/>
      <c r="F12" s="6"/>
      <c r="G12" s="6"/>
      <c r="H12" s="6"/>
    </row>
    <row r="13" customFormat="false" ht="15" hidden="false" customHeight="false" outlineLevel="0" collapsed="false">
      <c r="A13" s="7" t="n">
        <v>26</v>
      </c>
      <c r="B13" s="7" t="n">
        <v>1.285</v>
      </c>
      <c r="C13" s="5" t="s">
        <v>177</v>
      </c>
      <c r="D13" s="6"/>
      <c r="E13" s="6"/>
      <c r="F13" s="6"/>
      <c r="G13" s="6"/>
      <c r="H13" s="6"/>
    </row>
    <row r="14" customFormat="false" ht="15" hidden="false" customHeight="false" outlineLevel="0" collapsed="false">
      <c r="A14" s="7" t="n">
        <v>28</v>
      </c>
      <c r="B14" s="7" t="n">
        <v>1.306</v>
      </c>
      <c r="C14" s="5" t="s">
        <v>177</v>
      </c>
      <c r="D14" s="6"/>
      <c r="E14" s="6"/>
      <c r="F14" s="6"/>
      <c r="G14" s="6"/>
      <c r="H14" s="6"/>
    </row>
    <row r="15" customFormat="false" ht="15" hidden="false" customHeight="false" outlineLevel="0" collapsed="false">
      <c r="A15" s="7" t="n">
        <v>30</v>
      </c>
      <c r="B15" s="7" t="n">
        <v>1.322</v>
      </c>
      <c r="C15" s="5" t="s">
        <v>177</v>
      </c>
      <c r="D15" s="6"/>
      <c r="E15" s="6"/>
      <c r="F15" s="6"/>
      <c r="G15" s="6"/>
      <c r="H15" s="6"/>
    </row>
    <row r="16" customFormat="false" ht="15" hidden="false" customHeight="false" outlineLevel="0" collapsed="false">
      <c r="A16" s="7" t="n">
        <v>32</v>
      </c>
      <c r="B16" s="7" t="n">
        <v>1.343</v>
      </c>
      <c r="C16" s="5" t="s">
        <v>177</v>
      </c>
      <c r="D16" s="6"/>
      <c r="E16" s="6"/>
      <c r="F16" s="6"/>
      <c r="G16" s="6"/>
      <c r="H16" s="6"/>
    </row>
    <row r="17" customFormat="false" ht="15" hidden="false" customHeight="false" outlineLevel="0" collapsed="false">
      <c r="A17" s="7" t="n">
        <v>27</v>
      </c>
      <c r="B17" s="5" t="n">
        <f aca="false">B13+(A17-26)/(28-26)*(B14-B13)</f>
        <v>1.2955</v>
      </c>
      <c r="C17" s="5" t="s">
        <v>178</v>
      </c>
      <c r="D17" s="6"/>
      <c r="E17" s="6"/>
      <c r="F17" s="6"/>
      <c r="G17" s="6"/>
      <c r="H17" s="6"/>
    </row>
    <row r="18" customFormat="false" ht="35.05" hidden="false" customHeight="false" outlineLevel="0" collapsed="false">
      <c r="A18" s="7" t="n">
        <v>27.41</v>
      </c>
      <c r="B18" s="7" t="n">
        <v>1.3</v>
      </c>
      <c r="C18" s="5" t="s">
        <v>179</v>
      </c>
      <c r="D18" s="6"/>
      <c r="E18" s="6"/>
      <c r="F18" s="6"/>
      <c r="G18" s="6"/>
      <c r="H18" s="6"/>
    </row>
    <row r="19" customFormat="false" ht="15" hidden="false" customHeight="false" outlineLevel="0" collapsed="false">
      <c r="A19" s="5" t="s">
        <v>180</v>
      </c>
      <c r="B19" s="5" t="n">
        <f aca="false">B17-B18</f>
        <v>-0.00449999999999995</v>
      </c>
      <c r="C19" s="5"/>
      <c r="D19" s="6"/>
      <c r="E19" s="6"/>
      <c r="F19" s="6"/>
      <c r="G19" s="6"/>
      <c r="H19" s="6"/>
    </row>
    <row r="20" customFormat="false" ht="35.05" hidden="false" customHeight="false" outlineLevel="0" collapsed="false">
      <c r="A20" s="5" t="s">
        <v>181</v>
      </c>
      <c r="B20" s="7" t="n">
        <v>2.13</v>
      </c>
      <c r="C20" s="5" t="str">
        <f aca="false">IF(ABS(B20-B17)&gt;0.05,"LỆCH: 2,13 là mật độ rắn, không dùng cho dung dịch","OK")</f>
        <v>LỆCH: 2,13 là mật độ rắn, không dùng cho dung dịch</v>
      </c>
      <c r="D20" s="6"/>
      <c r="E20" s="6"/>
      <c r="F20" s="6"/>
      <c r="G20" s="6"/>
      <c r="H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</row>
    <row r="22" customFormat="false" ht="15" hidden="false" customHeight="false" outlineLevel="0" collapsed="false">
      <c r="A22" s="2" t="s">
        <v>182</v>
      </c>
      <c r="B22" s="6"/>
      <c r="C22" s="6"/>
      <c r="D22" s="6"/>
      <c r="E22" s="6"/>
      <c r="F22" s="6"/>
      <c r="G22" s="6"/>
      <c r="H22" s="6"/>
    </row>
    <row r="23" customFormat="false" ht="15" hidden="false" customHeight="false" outlineLevel="0" collapsed="false">
      <c r="A23" s="4" t="s">
        <v>161</v>
      </c>
      <c r="B23" s="4" t="s">
        <v>183</v>
      </c>
      <c r="C23" s="4" t="s">
        <v>184</v>
      </c>
      <c r="D23" s="4" t="s">
        <v>185</v>
      </c>
      <c r="E23" s="4" t="s">
        <v>168</v>
      </c>
      <c r="F23" s="4" t="s">
        <v>186</v>
      </c>
      <c r="G23" s="6"/>
      <c r="H23" s="6"/>
    </row>
    <row r="24" customFormat="false" ht="23.85" hidden="false" customHeight="false" outlineLevel="0" collapsed="false">
      <c r="A24" s="5" t="s">
        <v>169</v>
      </c>
      <c r="B24" s="7" t="n">
        <v>0.91</v>
      </c>
      <c r="C24" s="7" t="n">
        <v>0.91</v>
      </c>
      <c r="D24" s="7" t="n">
        <v>0.916</v>
      </c>
      <c r="E24" s="5" t="str">
        <f aca="false">IF(AND(B24&gt;=C24,B24&lt;=D24),"Trong khoảng","NGOÀI khoảng")</f>
        <v>Trong khoảng</v>
      </c>
      <c r="F24" s="5" t="s">
        <v>187</v>
      </c>
      <c r="G24" s="6"/>
      <c r="H24" s="6"/>
    </row>
    <row r="25" customFormat="false" ht="23.85" hidden="false" customHeight="false" outlineLevel="0" collapsed="false">
      <c r="A25" s="5" t="s">
        <v>170</v>
      </c>
      <c r="B25" s="7" t="n">
        <v>0.92</v>
      </c>
      <c r="C25" s="7" t="n">
        <v>0.908</v>
      </c>
      <c r="D25" s="7" t="n">
        <v>0.921</v>
      </c>
      <c r="E25" s="5" t="str">
        <f aca="false">IF(AND(B25&gt;=C25,B25&lt;=D25),"Trong khoảng","NGOÀI khoảng")</f>
        <v>Trong khoảng</v>
      </c>
      <c r="F25" s="5" t="s">
        <v>188</v>
      </c>
      <c r="G25" s="6"/>
      <c r="H25" s="6"/>
    </row>
    <row r="26" customFormat="false" ht="35.05" hidden="false" customHeight="false" outlineLevel="0" collapsed="false">
      <c r="A26" s="5" t="s">
        <v>171</v>
      </c>
      <c r="B26" s="7" t="n">
        <v>0.92</v>
      </c>
      <c r="C26" s="7" t="n">
        <v>0.891</v>
      </c>
      <c r="D26" s="7" t="n">
        <v>0.899</v>
      </c>
      <c r="E26" s="5" t="str">
        <f aca="false">IF(AND(B26&gt;=C26,B26&lt;=D26),"Trong khoảng","NGOÀI khoảng")</f>
        <v>NGOÀI khoảng</v>
      </c>
      <c r="F26" s="5" t="s">
        <v>189</v>
      </c>
      <c r="G26" s="6"/>
      <c r="H26" s="6"/>
    </row>
    <row r="27" customFormat="false" ht="15" hidden="false" customHeight="false" outlineLevel="0" collapsed="false">
      <c r="A27" s="8" t="s">
        <v>190</v>
      </c>
      <c r="B27" s="6"/>
      <c r="C27" s="6"/>
      <c r="D27" s="6"/>
      <c r="E27" s="6"/>
      <c r="F27" s="6"/>
      <c r="G27" s="6"/>
      <c r="H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</row>
    <row r="29" customFormat="false" ht="15" hidden="false" customHeight="false" outlineLevel="0" collapsed="false">
      <c r="A29" s="2" t="s">
        <v>191</v>
      </c>
      <c r="B29" s="6"/>
      <c r="C29" s="6"/>
      <c r="D29" s="6"/>
      <c r="E29" s="6"/>
      <c r="F29" s="6"/>
      <c r="G29" s="6"/>
      <c r="H29" s="6"/>
    </row>
    <row r="30" customFormat="false" ht="15" hidden="false" customHeight="false" outlineLevel="0" collapsed="false">
      <c r="A30" s="6" t="s">
        <v>192</v>
      </c>
      <c r="B30" s="9" t="n">
        <v>740</v>
      </c>
      <c r="C30" s="6"/>
      <c r="D30" s="6"/>
      <c r="E30" s="6"/>
      <c r="F30" s="6"/>
      <c r="G30" s="6"/>
      <c r="H30" s="6"/>
    </row>
    <row r="31" customFormat="false" ht="15" hidden="false" customHeight="false" outlineLevel="0" collapsed="false">
      <c r="A31" s="6" t="s">
        <v>193</v>
      </c>
      <c r="B31" s="9" t="n">
        <v>175</v>
      </c>
      <c r="C31" s="6"/>
      <c r="D31" s="6"/>
      <c r="E31" s="6"/>
      <c r="F31" s="6"/>
      <c r="G31" s="6"/>
      <c r="H31" s="6"/>
    </row>
    <row r="32" customFormat="false" ht="15" hidden="false" customHeight="false" outlineLevel="0" collapsed="false">
      <c r="A32" s="6" t="s">
        <v>194</v>
      </c>
      <c r="B32" s="9" t="n">
        <v>0.2</v>
      </c>
      <c r="C32" s="6"/>
      <c r="D32" s="6"/>
      <c r="E32" s="6"/>
      <c r="F32" s="6"/>
      <c r="G32" s="6"/>
      <c r="H32" s="6"/>
    </row>
    <row r="33" customFormat="false" ht="15" hidden="false" customHeight="false" outlineLevel="0" collapsed="false">
      <c r="A33" s="6" t="s">
        <v>195</v>
      </c>
      <c r="B33" s="6" t="n">
        <f aca="false">B31*(1-B32)</f>
        <v>140</v>
      </c>
      <c r="C33" s="6"/>
      <c r="D33" s="6"/>
      <c r="E33" s="6"/>
      <c r="F33" s="6"/>
      <c r="G33" s="6"/>
      <c r="H33" s="6"/>
    </row>
    <row r="34" customFormat="false" ht="15" hidden="false" customHeight="false" outlineLevel="0" collapsed="false">
      <c r="A34" s="6" t="s">
        <v>196</v>
      </c>
      <c r="B34" s="6" t="n">
        <f aca="false">B33/B30</f>
        <v>0.189189189189189</v>
      </c>
      <c r="C34" s="6"/>
      <c r="D34" s="6"/>
      <c r="E34" s="6"/>
      <c r="F34" s="6"/>
      <c r="G34" s="6"/>
      <c r="H34" s="6"/>
    </row>
    <row r="35" customFormat="false" ht="15" hidden="false" customHeight="false" outlineLevel="0" collapsed="false">
      <c r="A35" s="6" t="s">
        <v>197</v>
      </c>
      <c r="B35" s="6" t="n">
        <f aca="false">1-B32</f>
        <v>0.8</v>
      </c>
      <c r="C35" s="6"/>
      <c r="D35" s="6"/>
      <c r="E35" s="6"/>
      <c r="F35" s="6"/>
      <c r="G35" s="6"/>
      <c r="H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</row>
    <row r="37" customFormat="false" ht="23.85" hidden="false" customHeight="false" outlineLevel="0" collapsed="false">
      <c r="A37" s="4" t="s">
        <v>198</v>
      </c>
      <c r="B37" s="4" t="s">
        <v>199</v>
      </c>
      <c r="C37" s="4" t="s">
        <v>200</v>
      </c>
      <c r="D37" s="4" t="s">
        <v>201</v>
      </c>
      <c r="E37" s="4" t="s">
        <v>202</v>
      </c>
      <c r="F37" s="6"/>
      <c r="G37" s="6"/>
      <c r="H37" s="6"/>
    </row>
    <row r="38" customFormat="false" ht="15" hidden="false" customHeight="false" outlineLevel="0" collapsed="false">
      <c r="A38" s="5" t="s">
        <v>203</v>
      </c>
      <c r="B38" s="7" t="n">
        <v>0.05</v>
      </c>
      <c r="C38" s="5" t="n">
        <f aca="false">B38*$B$30</f>
        <v>37</v>
      </c>
      <c r="D38" s="5" t="n">
        <f aca="false">C38/$B$31</f>
        <v>0.211428571428571</v>
      </c>
      <c r="E38" s="5" t="n">
        <f aca="false">1-D38</f>
        <v>0.788571428571429</v>
      </c>
      <c r="F38" s="6"/>
      <c r="G38" s="6"/>
      <c r="H38" s="6"/>
    </row>
    <row r="39" customFormat="false" ht="15" hidden="false" customHeight="false" outlineLevel="0" collapsed="false">
      <c r="A39" s="5" t="s">
        <v>204</v>
      </c>
      <c r="B39" s="7" t="n">
        <v>0.1</v>
      </c>
      <c r="C39" s="5" t="n">
        <f aca="false">B39*$B$30</f>
        <v>74</v>
      </c>
      <c r="D39" s="5" t="n">
        <f aca="false">C39/$B$31</f>
        <v>0.422857142857143</v>
      </c>
      <c r="E39" s="5" t="n">
        <f aca="false">1-D39</f>
        <v>0.577142857142857</v>
      </c>
      <c r="F39" s="6"/>
      <c r="G39" s="6"/>
      <c r="H39" s="6"/>
    </row>
    <row r="40" customFormat="false" ht="15" hidden="false" customHeight="false" outlineLevel="0" collapsed="false">
      <c r="A40" s="5" t="s">
        <v>205</v>
      </c>
      <c r="B40" s="7" t="n">
        <v>0.15</v>
      </c>
      <c r="C40" s="5" t="n">
        <f aca="false">B40*$B$30</f>
        <v>111</v>
      </c>
      <c r="D40" s="5" t="n">
        <f aca="false">C40/$B$31</f>
        <v>0.634285714285714</v>
      </c>
      <c r="E40" s="5" t="n">
        <f aca="false">1-D40</f>
        <v>0.365714285714286</v>
      </c>
      <c r="F40" s="6"/>
      <c r="G40" s="6"/>
      <c r="H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</row>
    <row r="42" customFormat="false" ht="15" hidden="false" customHeight="false" outlineLevel="0" collapsed="false">
      <c r="A42" s="8" t="s">
        <v>206</v>
      </c>
      <c r="B42" s="6"/>
      <c r="C42" s="6"/>
      <c r="D42" s="6"/>
      <c r="E42" s="6"/>
      <c r="F42" s="6"/>
      <c r="G42" s="6"/>
      <c r="H42" s="6"/>
    </row>
    <row r="43" customFormat="false" ht="15" hidden="false" customHeight="false" outlineLevel="0" collapsed="false">
      <c r="A43" s="8" t="s">
        <v>207</v>
      </c>
      <c r="B43" s="6"/>
      <c r="C43" s="6"/>
      <c r="D43" s="6"/>
      <c r="E43" s="6"/>
      <c r="F43" s="6"/>
      <c r="G43" s="6"/>
      <c r="H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2026-10-19T21:02:16Z</dcterms:created>
  <dc:creator>openpyxl</dc:creator>
  <dc:description/>
  <dc:language>en-US</dc:language>
  <cp:lastModifiedBy/>
  <dcterms:modified xsi:type="dcterms:W3CDTF">2026-10-19T21:02:16Z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